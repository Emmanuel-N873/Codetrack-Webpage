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22980" windowHeight="8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Sheet1!$A$1:$H$28</definedName>
  </definedNames>
  <calcPr calcId="144525"/>
</workbook>
</file>

<file path=xl/calcChain.xml><?xml version="1.0" encoding="utf-8"?>
<calcChain xmlns="http://schemas.openxmlformats.org/spreadsheetml/2006/main">
  <c r="F13" i="1" l="1"/>
  <c r="G13" i="1"/>
  <c r="H13" i="1"/>
  <c r="E1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<sst xmlns="http://schemas.openxmlformats.org/spreadsheetml/2006/main" count="19" uniqueCount="19">
  <si>
    <t>Oko Nkeiruka Nkem</t>
  </si>
  <si>
    <t>Chibueze Ogbulafor</t>
  </si>
  <si>
    <t>Ohalete Chigo</t>
  </si>
  <si>
    <t>Ben Nancy Udo</t>
  </si>
  <si>
    <t>Dike Precious Nkemjika</t>
  </si>
  <si>
    <t>Ndukwe, Promise Oluchi</t>
  </si>
  <si>
    <t>Ibiam Samuel Ibiam</t>
  </si>
  <si>
    <t>Egwu Amarachukwu</t>
  </si>
  <si>
    <t>Okochima Ogbonne</t>
  </si>
  <si>
    <t xml:space="preserve">Oko Onyinyechi Ruth </t>
  </si>
  <si>
    <t>S/N</t>
  </si>
  <si>
    <t>NAME</t>
  </si>
  <si>
    <t>BASIC SALARY</t>
  </si>
  <si>
    <t>OVERTIME</t>
  </si>
  <si>
    <t>PAYE @5%</t>
  </si>
  <si>
    <t>NET PAY</t>
  </si>
  <si>
    <t>Hrs</t>
  </si>
  <si>
    <t>Rate:  #2,000/Hr</t>
  </si>
  <si>
    <t>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</si>
</sst>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0" fontId="0" fillId="0" borderId="0" xfId="0" applyAlignment="1"/>
    <xf numFmtId="0" fontId="3" fillId="0" borderId="1" xfId="0" applyFont="1" applyFill="1" applyBorder="1" applyAlignment="1">
      <alignment horizontal="left" vertical="top"/>
    </xf>
    <xf numFmtId="3" fontId="3" fillId="0" borderId="1" xfId="0" applyNumberFormat="1" applyFont="1" applyFill="1" applyBorder="1" applyAlignment="1">
      <alignment horizontal="left" vertical="top"/>
    </xf>
    <xf numFmtId="43" fontId="0" fillId="0" borderId="1" xfId="1" applyFont="1" applyBorder="1"/>
    <xf numFmtId="165" fontId="0" fillId="0" borderId="1" xfId="1" applyNumberFormat="1" applyFont="1" applyBorder="1"/>
    <xf numFmtId="165" fontId="0" fillId="0" borderId="0" xfId="1" applyNumberFormat="1" applyFont="1"/>
    <xf numFmtId="0" fontId="2" fillId="0" borderId="1" xfId="0" applyFont="1" applyBorder="1" applyAlignment="1"/>
    <xf numFmtId="43" fontId="2" fillId="0" borderId="1" xfId="1" applyFont="1" applyBorder="1"/>
    <xf numFmtId="43" fontId="2" fillId="0" borderId="0" xfId="1" applyFont="1"/>
    <xf numFmtId="0" fontId="2" fillId="0" borderId="0" xfId="0" applyFont="1"/>
    <xf numFmtId="43" fontId="2" fillId="0" borderId="2" xfId="1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43" fontId="2" fillId="0" borderId="4" xfId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/>
    <xf numFmtId="43" fontId="2" fillId="0" borderId="6" xfId="1" applyFont="1" applyBorder="1"/>
    <xf numFmtId="43" fontId="2" fillId="0" borderId="7" xfId="1" applyFont="1" applyBorder="1" applyAlignment="1"/>
    <xf numFmtId="43" fontId="2" fillId="0" borderId="8" xfId="1" applyFont="1" applyBorder="1" applyAlignment="1"/>
    <xf numFmtId="43" fontId="2" fillId="0" borderId="9" xfId="1" applyFont="1" applyBorder="1" applyAlignment="1"/>
    <xf numFmtId="43" fontId="2" fillId="0" borderId="10" xfId="1" applyFont="1" applyBorder="1"/>
    <xf numFmtId="0" fontId="2" fillId="0" borderId="11" xfId="0" applyFont="1" applyBorder="1"/>
    <xf numFmtId="43" fontId="2" fillId="0" borderId="12" xfId="1" applyFont="1" applyBorder="1"/>
    <xf numFmtId="0" fontId="0" fillId="0" borderId="11" xfId="0" applyBorder="1"/>
    <xf numFmtId="43" fontId="0" fillId="0" borderId="12" xfId="1" applyFont="1" applyBorder="1"/>
    <xf numFmtId="0" fontId="0" fillId="0" borderId="13" xfId="0" applyBorder="1"/>
    <xf numFmtId="3" fontId="3" fillId="0" borderId="14" xfId="0" applyNumberFormat="1" applyFont="1" applyFill="1" applyBorder="1" applyAlignment="1">
      <alignment horizontal="left" vertical="top"/>
    </xf>
    <xf numFmtId="43" fontId="0" fillId="0" borderId="14" xfId="1" applyFont="1" applyBorder="1"/>
    <xf numFmtId="165" fontId="0" fillId="0" borderId="14" xfId="1" applyNumberFormat="1" applyFont="1" applyBorder="1"/>
    <xf numFmtId="43" fontId="0" fillId="0" borderId="15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4817664"/>
        <c:axId val="174701184"/>
      </c:scatterChart>
      <c:valAx>
        <c:axId val="17481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4701184"/>
        <c:crosses val="autoZero"/>
        <c:crossBetween val="midCat"/>
      </c:valAx>
      <c:valAx>
        <c:axId val="174701184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74817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32921344"/>
        <c:axId val="232919808"/>
      </c:scatterChart>
      <c:valAx>
        <c:axId val="232921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2919808"/>
        <c:crosses val="autoZero"/>
        <c:crossBetween val="midCat"/>
      </c:valAx>
      <c:valAx>
        <c:axId val="23291980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232921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99391</xdr:colOff>
      <xdr:row>11</xdr:row>
      <xdr:rowOff>142461</xdr:rowOff>
    </xdr:from>
    <xdr:to>
      <xdr:col>20</xdr:col>
      <xdr:colOff>99391</xdr:colOff>
      <xdr:row>51</xdr:row>
      <xdr:rowOff>29818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26893</xdr:colOff>
      <xdr:row>2</xdr:row>
      <xdr:rowOff>76199</xdr:rowOff>
    </xdr:from>
    <xdr:to>
      <xdr:col>16</xdr:col>
      <xdr:colOff>331693</xdr:colOff>
      <xdr:row>17</xdr:row>
      <xdr:rowOff>121022</xdr:rowOff>
    </xdr:to>
    <xdr:graphicFrame macro="">
      <xdr:nvGraphicFramePr>
        <xdr:cNvPr id="3" name="Chart 2" descr="Y=X2+4X-2. For x =-6 to 4 Using style 8 plot a scatter diagrams with lines and markers&#10;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0.88856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7315200" cy="6486938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view="pageBreakPreview" zoomScale="85" zoomScaleNormal="100" zoomScaleSheetLayoutView="85" workbookViewId="0">
      <selection activeCell="E40" sqref="E40"/>
    </sheetView>
  </sheetViews>
  <sheetFormatPr defaultRowHeight="14.4" x14ac:dyDescent="0.3"/>
  <cols>
    <col min="2" max="2" width="23.109375" style="2" bestFit="1" customWidth="1"/>
    <col min="3" max="3" width="13.5546875" style="1" bestFit="1" customWidth="1"/>
    <col min="4" max="4" width="10.88671875" style="7" bestFit="1" customWidth="1"/>
    <col min="5" max="5" width="15.5546875" style="1" bestFit="1" customWidth="1"/>
    <col min="6" max="6" width="13.109375" style="1" bestFit="1" customWidth="1"/>
    <col min="7" max="7" width="10.88671875" style="1" bestFit="1" customWidth="1"/>
    <col min="8" max="8" width="12.6640625" style="1" bestFit="1" customWidth="1"/>
    <col min="9" max="15" width="8.88671875" style="1"/>
  </cols>
  <sheetData>
    <row r="1" spans="1:15" s="11" customFormat="1" x14ac:dyDescent="0.3">
      <c r="A1" s="15" t="s">
        <v>10</v>
      </c>
      <c r="B1" s="16" t="s">
        <v>11</v>
      </c>
      <c r="C1" s="17" t="s">
        <v>12</v>
      </c>
      <c r="D1" s="18" t="s">
        <v>13</v>
      </c>
      <c r="E1" s="19"/>
      <c r="F1" s="20" t="s">
        <v>18</v>
      </c>
      <c r="G1" s="17" t="s">
        <v>14</v>
      </c>
      <c r="H1" s="21" t="s">
        <v>15</v>
      </c>
      <c r="I1" s="10"/>
      <c r="J1" s="10"/>
      <c r="K1" s="10"/>
      <c r="L1" s="10"/>
      <c r="M1" s="10"/>
      <c r="N1" s="10"/>
      <c r="O1" s="10"/>
    </row>
    <row r="2" spans="1:15" s="11" customFormat="1" x14ac:dyDescent="0.3">
      <c r="A2" s="22"/>
      <c r="B2" s="8"/>
      <c r="C2" s="9"/>
      <c r="D2" s="12" t="s">
        <v>16</v>
      </c>
      <c r="E2" s="13" t="s">
        <v>17</v>
      </c>
      <c r="F2" s="14"/>
      <c r="G2" s="9"/>
      <c r="H2" s="23"/>
      <c r="I2" s="10"/>
      <c r="J2" s="10"/>
      <c r="K2" s="10"/>
      <c r="L2" s="10"/>
      <c r="M2" s="10"/>
      <c r="N2" s="10"/>
      <c r="O2" s="10"/>
    </row>
    <row r="3" spans="1:15" x14ac:dyDescent="0.3">
      <c r="A3" s="24">
        <v>1</v>
      </c>
      <c r="B3" s="3" t="s">
        <v>0</v>
      </c>
      <c r="C3" s="5">
        <v>50000</v>
      </c>
      <c r="D3" s="6">
        <v>2</v>
      </c>
      <c r="E3" s="5">
        <f>D3*2000</f>
        <v>4000</v>
      </c>
      <c r="F3" s="5">
        <f>C3+E3</f>
        <v>54000</v>
      </c>
      <c r="G3" s="5">
        <f>F3*0.05</f>
        <v>2700</v>
      </c>
      <c r="H3" s="25">
        <f>F3-G3</f>
        <v>51300</v>
      </c>
    </row>
    <row r="4" spans="1:15" x14ac:dyDescent="0.3">
      <c r="A4" s="24">
        <v>2</v>
      </c>
      <c r="B4" s="4" t="s">
        <v>1</v>
      </c>
      <c r="C4" s="5">
        <v>60000</v>
      </c>
      <c r="D4" s="6">
        <v>3</v>
      </c>
      <c r="E4" s="5">
        <f t="shared" ref="E4:E12" si="0">D4*2000</f>
        <v>6000</v>
      </c>
      <c r="F4" s="5">
        <f t="shared" ref="F4:F12" si="1">C4+E4</f>
        <v>66000</v>
      </c>
      <c r="G4" s="5">
        <f t="shared" ref="G4:G12" si="2">F4*0.05</f>
        <v>3300</v>
      </c>
      <c r="H4" s="25">
        <f t="shared" ref="H4:H12" si="3">F4-G4</f>
        <v>62700</v>
      </c>
    </row>
    <row r="5" spans="1:15" x14ac:dyDescent="0.3">
      <c r="A5" s="24">
        <v>3</v>
      </c>
      <c r="B5" s="3" t="s">
        <v>2</v>
      </c>
      <c r="C5" s="5">
        <v>70000</v>
      </c>
      <c r="D5" s="6">
        <v>5</v>
      </c>
      <c r="E5" s="5">
        <f t="shared" si="0"/>
        <v>10000</v>
      </c>
      <c r="F5" s="5">
        <f t="shared" si="1"/>
        <v>80000</v>
      </c>
      <c r="G5" s="5">
        <f t="shared" si="2"/>
        <v>4000</v>
      </c>
      <c r="H5" s="25">
        <f t="shared" si="3"/>
        <v>76000</v>
      </c>
    </row>
    <row r="6" spans="1:15" x14ac:dyDescent="0.3">
      <c r="A6" s="24">
        <v>4</v>
      </c>
      <c r="B6" s="3" t="s">
        <v>3</v>
      </c>
      <c r="C6" s="5">
        <v>80000</v>
      </c>
      <c r="D6" s="6">
        <v>3</v>
      </c>
      <c r="E6" s="5">
        <f t="shared" si="0"/>
        <v>6000</v>
      </c>
      <c r="F6" s="5">
        <f t="shared" si="1"/>
        <v>86000</v>
      </c>
      <c r="G6" s="5">
        <f t="shared" si="2"/>
        <v>4300</v>
      </c>
      <c r="H6" s="25">
        <f t="shared" si="3"/>
        <v>81700</v>
      </c>
    </row>
    <row r="7" spans="1:15" x14ac:dyDescent="0.3">
      <c r="A7" s="24">
        <v>5</v>
      </c>
      <c r="B7" s="3" t="s">
        <v>4</v>
      </c>
      <c r="C7" s="5">
        <v>90000</v>
      </c>
      <c r="D7" s="6">
        <v>4</v>
      </c>
      <c r="E7" s="5">
        <f t="shared" si="0"/>
        <v>8000</v>
      </c>
      <c r="F7" s="5">
        <f t="shared" si="1"/>
        <v>98000</v>
      </c>
      <c r="G7" s="5">
        <f t="shared" si="2"/>
        <v>4900</v>
      </c>
      <c r="H7" s="25">
        <f t="shared" si="3"/>
        <v>93100</v>
      </c>
    </row>
    <row r="8" spans="1:15" x14ac:dyDescent="0.3">
      <c r="A8" s="24">
        <v>6</v>
      </c>
      <c r="B8" s="4" t="s">
        <v>5</v>
      </c>
      <c r="C8" s="5">
        <v>100000</v>
      </c>
      <c r="D8" s="6">
        <v>6</v>
      </c>
      <c r="E8" s="5">
        <f t="shared" si="0"/>
        <v>12000</v>
      </c>
      <c r="F8" s="5">
        <f t="shared" si="1"/>
        <v>112000</v>
      </c>
      <c r="G8" s="5">
        <f t="shared" si="2"/>
        <v>5600</v>
      </c>
      <c r="H8" s="25">
        <f t="shared" si="3"/>
        <v>106400</v>
      </c>
    </row>
    <row r="9" spans="1:15" x14ac:dyDescent="0.3">
      <c r="A9" s="24">
        <v>7</v>
      </c>
      <c r="B9" s="4" t="s">
        <v>6</v>
      </c>
      <c r="C9" s="5">
        <v>110000</v>
      </c>
      <c r="D9" s="6">
        <v>4</v>
      </c>
      <c r="E9" s="5">
        <f t="shared" si="0"/>
        <v>8000</v>
      </c>
      <c r="F9" s="5">
        <f t="shared" si="1"/>
        <v>118000</v>
      </c>
      <c r="G9" s="5">
        <f t="shared" si="2"/>
        <v>5900</v>
      </c>
      <c r="H9" s="25">
        <f t="shared" si="3"/>
        <v>112100</v>
      </c>
    </row>
    <row r="10" spans="1:15" x14ac:dyDescent="0.3">
      <c r="A10" s="24">
        <v>8</v>
      </c>
      <c r="B10" s="4" t="s">
        <v>7</v>
      </c>
      <c r="C10" s="5">
        <v>120000</v>
      </c>
      <c r="D10" s="6">
        <v>2</v>
      </c>
      <c r="E10" s="5">
        <f t="shared" si="0"/>
        <v>4000</v>
      </c>
      <c r="F10" s="5">
        <f t="shared" si="1"/>
        <v>124000</v>
      </c>
      <c r="G10" s="5">
        <f t="shared" si="2"/>
        <v>6200</v>
      </c>
      <c r="H10" s="25">
        <f t="shared" si="3"/>
        <v>117800</v>
      </c>
    </row>
    <row r="11" spans="1:15" x14ac:dyDescent="0.3">
      <c r="A11" s="24">
        <v>9</v>
      </c>
      <c r="B11" s="4" t="s">
        <v>8</v>
      </c>
      <c r="C11" s="5">
        <v>130000</v>
      </c>
      <c r="D11" s="6">
        <v>3</v>
      </c>
      <c r="E11" s="5">
        <f t="shared" si="0"/>
        <v>6000</v>
      </c>
      <c r="F11" s="5">
        <f t="shared" si="1"/>
        <v>136000</v>
      </c>
      <c r="G11" s="5">
        <f t="shared" si="2"/>
        <v>6800</v>
      </c>
      <c r="H11" s="25">
        <f t="shared" si="3"/>
        <v>129200</v>
      </c>
    </row>
    <row r="12" spans="1:15" ht="15" thickBot="1" x14ac:dyDescent="0.35">
      <c r="A12" s="26">
        <v>10</v>
      </c>
      <c r="B12" s="27" t="s">
        <v>9</v>
      </c>
      <c r="C12" s="28">
        <v>140000</v>
      </c>
      <c r="D12" s="29">
        <v>5</v>
      </c>
      <c r="E12" s="28">
        <f t="shared" si="0"/>
        <v>10000</v>
      </c>
      <c r="F12" s="28">
        <f t="shared" si="1"/>
        <v>150000</v>
      </c>
      <c r="G12" s="28">
        <f t="shared" si="2"/>
        <v>7500</v>
      </c>
      <c r="H12" s="30">
        <f t="shared" si="3"/>
        <v>142500</v>
      </c>
    </row>
    <row r="13" spans="1:15" x14ac:dyDescent="0.3">
      <c r="E13" s="1">
        <f>SUM(E3:E12)</f>
        <v>74000</v>
      </c>
      <c r="F13" s="1">
        <f t="shared" ref="F13:H13" si="4">SUM(F3:F12)</f>
        <v>1024000</v>
      </c>
      <c r="G13" s="1">
        <f t="shared" si="4"/>
        <v>51200</v>
      </c>
      <c r="H13" s="1">
        <f t="shared" si="4"/>
        <v>972800</v>
      </c>
    </row>
  </sheetData>
  <pageMargins left="0.7" right="0.7" top="0.75" bottom="0.75" header="0.3" footer="0.3"/>
  <pageSetup scale="8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NWAUZOBILOM</dc:creator>
  <cp:lastModifiedBy>EMMANUEL NWAUZOBILOM</cp:lastModifiedBy>
  <dcterms:created xsi:type="dcterms:W3CDTF">2026-07-11T12:42:29Z</dcterms:created>
  <dcterms:modified xsi:type="dcterms:W3CDTF">2026-07-11T13:13:39Z</dcterms:modified>
</cp:coreProperties>
</file>